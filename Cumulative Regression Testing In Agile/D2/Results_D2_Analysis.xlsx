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isualizations" sheetId="2" state="visible" r:id="rId2"/>
    <sheet name="Avg_BV" sheetId="3" state="visible" r:id="rId3"/>
    <sheet name="Avg_Coverage" sheetId="4" state="visible" r:id="rId4"/>
    <sheet name="BV_Loss_vs_MemLess" sheetId="5" state="visible" r:id="rId5"/>
    <sheet name="Coverage_Gap_vs_MemLess" sheetId="6" state="visible" r:id="rId6"/>
    <sheet name="Avg_Skipped_per_RTW" sheetId="7" state="visible" r:id="rId7"/>
    <sheet name="Sel_Req_MemLess" sheetId="8" state="visible" r:id="rId8"/>
    <sheet name="Wait_Req_MemLess" sheetId="9" state="visible" r:id="rId9"/>
    <sheet name="Sel_Test_MemLess" sheetId="10" state="visible" r:id="rId10"/>
    <sheet name="Wait_Test_MemLess" sheetId="11" state="visible" r:id="rId11"/>
    <sheet name="Sel_Req_Aging" sheetId="12" state="visible" r:id="rId12"/>
    <sheet name="Wait_Req_Aging" sheetId="13" state="visible" r:id="rId13"/>
    <sheet name="Sel_Test_Aging" sheetId="14" state="visible" r:id="rId14"/>
    <sheet name="Wait_Test_Aging" sheetId="15" state="visible" r:id="rId15"/>
    <sheet name="Sel_Req_DRR" sheetId="16" state="visible" r:id="rId16"/>
    <sheet name="Wait_Req_DRR" sheetId="17" state="visible" r:id="rId17"/>
    <sheet name="Sel_Test_DRR" sheetId="18" state="visible" r:id="rId18"/>
    <sheet name="Wait_Test_DRR" sheetId="19" state="visible" r:id="rId19"/>
    <sheet name="Sel_Req_RR" sheetId="20" state="visible" r:id="rId20"/>
    <sheet name="Wait_Req_RR" sheetId="21" state="visible" r:id="rId21"/>
    <sheet name="Sel_Test_RR" sheetId="22" state="visible" r:id="rId22"/>
    <sheet name="Wait_Test_RR" sheetId="23" state="visible" r:id="rId23"/>
    <sheet name="Sel_Req_WRR" sheetId="24" state="visible" r:id="rId24"/>
    <sheet name="Wait_Req_WRR" sheetId="25" state="visible" r:id="rId25"/>
    <sheet name="Sel_Test_WRR" sheetId="26" state="visible" r:id="rId26"/>
    <sheet name="Wait_Test_WRR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8575000" cy="10715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RTW Fraction</t>
        </is>
      </c>
      <c r="C1" t="inlineStr">
        <is>
          <t>BV</t>
        </is>
      </c>
      <c r="D1" t="inlineStr">
        <is>
          <t>Coverage</t>
        </is>
      </c>
    </row>
    <row r="2">
      <c r="A2" t="inlineStr">
        <is>
          <t>MemLess</t>
        </is>
      </c>
      <c r="B2" t="n">
        <v>0.1</v>
      </c>
      <c r="C2" t="n">
        <v>100</v>
      </c>
      <c r="D2" t="n">
        <v>25</v>
      </c>
    </row>
    <row r="3">
      <c r="A3" t="inlineStr">
        <is>
          <t>Aging</t>
        </is>
      </c>
      <c r="B3" t="n">
        <v>0.1</v>
      </c>
      <c r="C3" t="n">
        <v>100</v>
      </c>
      <c r="D3" t="n">
        <v>25</v>
      </c>
    </row>
    <row r="4">
      <c r="A4" t="inlineStr">
        <is>
          <t>DRR</t>
        </is>
      </c>
      <c r="B4" t="n">
        <v>0.1</v>
      </c>
      <c r="C4" t="n">
        <v>100</v>
      </c>
      <c r="D4" t="n">
        <v>25</v>
      </c>
    </row>
    <row r="5">
      <c r="A5" t="inlineStr">
        <is>
          <t>RR</t>
        </is>
      </c>
      <c r="B5" t="n">
        <v>0.1</v>
      </c>
      <c r="C5" t="n">
        <v>108</v>
      </c>
      <c r="D5" t="n">
        <v>40</v>
      </c>
    </row>
    <row r="6">
      <c r="A6" t="inlineStr">
        <is>
          <t>WRR</t>
        </is>
      </c>
      <c r="B6" t="n">
        <v>0.1</v>
      </c>
      <c r="C6" t="n">
        <v>108</v>
      </c>
      <c r="D6" t="n">
        <v>40</v>
      </c>
    </row>
    <row r="7">
      <c r="A7" t="inlineStr">
        <is>
          <t>MemLess</t>
        </is>
      </c>
      <c r="B7" t="n">
        <v>0.2</v>
      </c>
      <c r="C7" t="n">
        <v>244</v>
      </c>
      <c r="D7" t="n">
        <v>30</v>
      </c>
    </row>
    <row r="8">
      <c r="A8" t="inlineStr">
        <is>
          <t>Aging</t>
        </is>
      </c>
      <c r="B8" t="n">
        <v>0.2</v>
      </c>
      <c r="C8" t="n">
        <v>0</v>
      </c>
      <c r="D8" t="n">
        <v>0</v>
      </c>
    </row>
    <row r="9">
      <c r="A9" t="inlineStr">
        <is>
          <t>DRR</t>
        </is>
      </c>
      <c r="B9" t="n">
        <v>0.2</v>
      </c>
      <c r="C9" t="n">
        <v>244</v>
      </c>
      <c r="D9" t="n">
        <v>30</v>
      </c>
    </row>
    <row r="10">
      <c r="A10" t="inlineStr">
        <is>
          <t>RR</t>
        </is>
      </c>
      <c r="B10" t="n">
        <v>0.2</v>
      </c>
      <c r="C10" t="n">
        <v>252</v>
      </c>
      <c r="D10" t="n">
        <v>45</v>
      </c>
    </row>
    <row r="11">
      <c r="A11" t="inlineStr">
        <is>
          <t>WRR</t>
        </is>
      </c>
      <c r="B11" t="n">
        <v>0.2</v>
      </c>
      <c r="C11" t="n">
        <v>252</v>
      </c>
      <c r="D11" t="n">
        <v>45</v>
      </c>
    </row>
    <row r="12">
      <c r="A12" t="inlineStr">
        <is>
          <t>MemLess</t>
        </is>
      </c>
      <c r="B12" t="n">
        <v>0.3</v>
      </c>
      <c r="C12" t="n">
        <v>244</v>
      </c>
      <c r="D12" t="n">
        <v>30</v>
      </c>
    </row>
    <row r="13">
      <c r="A13" t="inlineStr">
        <is>
          <t>Aging</t>
        </is>
      </c>
      <c r="B13" t="n">
        <v>0.3</v>
      </c>
      <c r="C13" t="n">
        <v>244</v>
      </c>
      <c r="D13" t="n">
        <v>30</v>
      </c>
    </row>
    <row r="14">
      <c r="A14" t="inlineStr">
        <is>
          <t>DRR</t>
        </is>
      </c>
      <c r="B14" t="n">
        <v>0.3</v>
      </c>
      <c r="C14" t="n">
        <v>244</v>
      </c>
      <c r="D14" t="n">
        <v>30</v>
      </c>
    </row>
    <row r="15">
      <c r="A15" t="inlineStr">
        <is>
          <t>RR</t>
        </is>
      </c>
      <c r="B15" t="n">
        <v>0.3</v>
      </c>
      <c r="C15" t="n">
        <v>252</v>
      </c>
      <c r="D15" t="n">
        <v>45</v>
      </c>
    </row>
    <row r="16">
      <c r="A16" t="inlineStr">
        <is>
          <t>WRR</t>
        </is>
      </c>
      <c r="B16" t="n">
        <v>0.3</v>
      </c>
      <c r="C16" t="n">
        <v>252</v>
      </c>
      <c r="D16" t="n">
        <v>45</v>
      </c>
    </row>
    <row r="17">
      <c r="A17" t="inlineStr">
        <is>
          <t>MemLess</t>
        </is>
      </c>
      <c r="B17" t="n">
        <v>0.4</v>
      </c>
      <c r="C17" t="n">
        <v>244</v>
      </c>
      <c r="D17" t="n">
        <v>30</v>
      </c>
    </row>
    <row r="18">
      <c r="A18" t="inlineStr">
        <is>
          <t>Aging</t>
        </is>
      </c>
      <c r="B18" t="n">
        <v>0.4</v>
      </c>
      <c r="C18" t="n">
        <v>0</v>
      </c>
      <c r="D18" t="n">
        <v>0</v>
      </c>
    </row>
    <row r="19">
      <c r="A19" t="inlineStr">
        <is>
          <t>DRR</t>
        </is>
      </c>
      <c r="B19" t="n">
        <v>0.4</v>
      </c>
      <c r="C19" t="n">
        <v>244</v>
      </c>
      <c r="D19" t="n">
        <v>30</v>
      </c>
    </row>
    <row r="20">
      <c r="A20" t="inlineStr">
        <is>
          <t>RR</t>
        </is>
      </c>
      <c r="B20" t="n">
        <v>0.4</v>
      </c>
      <c r="C20" t="n">
        <v>252</v>
      </c>
      <c r="D20" t="n">
        <v>45</v>
      </c>
    </row>
    <row r="21">
      <c r="A21" t="inlineStr">
        <is>
          <t>WRR</t>
        </is>
      </c>
      <c r="B21" t="n">
        <v>0.4</v>
      </c>
      <c r="C21" t="n">
        <v>252</v>
      </c>
      <c r="D21" t="n">
        <v>45</v>
      </c>
    </row>
    <row r="22">
      <c r="A22" t="inlineStr">
        <is>
          <t>MemLess</t>
        </is>
      </c>
      <c r="B22" t="n">
        <v>0.5</v>
      </c>
      <c r="C22" t="n">
        <v>244</v>
      </c>
      <c r="D22" t="n">
        <v>30</v>
      </c>
    </row>
    <row r="23">
      <c r="A23" t="inlineStr">
        <is>
          <t>Aging</t>
        </is>
      </c>
      <c r="B23" t="n">
        <v>0.5</v>
      </c>
      <c r="C23" t="n">
        <v>244</v>
      </c>
      <c r="D23" t="n">
        <v>30</v>
      </c>
    </row>
    <row r="24">
      <c r="A24" t="inlineStr">
        <is>
          <t>DRR</t>
        </is>
      </c>
      <c r="B24" t="n">
        <v>0.5</v>
      </c>
      <c r="C24" t="n">
        <v>244</v>
      </c>
      <c r="D24" t="n">
        <v>30</v>
      </c>
    </row>
    <row r="25">
      <c r="A25" t="inlineStr">
        <is>
          <t>RR</t>
        </is>
      </c>
      <c r="B25" t="n">
        <v>0.5</v>
      </c>
      <c r="C25" t="n">
        <v>155</v>
      </c>
      <c r="D25" t="n">
        <v>65</v>
      </c>
    </row>
    <row r="26">
      <c r="A26" t="inlineStr">
        <is>
          <t>WRR</t>
        </is>
      </c>
      <c r="B26" t="n">
        <v>0.5</v>
      </c>
      <c r="C26" t="n">
        <v>155</v>
      </c>
      <c r="D26" t="n">
        <v>65</v>
      </c>
    </row>
    <row r="27">
      <c r="A27" t="inlineStr">
        <is>
          <t>MemLess</t>
        </is>
      </c>
      <c r="B27" t="n">
        <v>0.6</v>
      </c>
      <c r="C27" t="n">
        <v>244</v>
      </c>
      <c r="D27" t="n">
        <v>30</v>
      </c>
    </row>
    <row r="28">
      <c r="A28" t="inlineStr">
        <is>
          <t>Aging</t>
        </is>
      </c>
      <c r="B28" t="n">
        <v>0.6</v>
      </c>
      <c r="C28" t="n">
        <v>0</v>
      </c>
      <c r="D28" t="n">
        <v>0</v>
      </c>
    </row>
    <row r="29">
      <c r="A29" t="inlineStr">
        <is>
          <t>DRR</t>
        </is>
      </c>
      <c r="B29" t="n">
        <v>0.6</v>
      </c>
      <c r="C29" t="n">
        <v>244</v>
      </c>
      <c r="D29" t="n">
        <v>30</v>
      </c>
    </row>
    <row r="30">
      <c r="A30" t="inlineStr">
        <is>
          <t>RR</t>
        </is>
      </c>
      <c r="B30" t="n">
        <v>0.6</v>
      </c>
      <c r="C30" t="n">
        <v>299</v>
      </c>
      <c r="D30" t="n">
        <v>70</v>
      </c>
    </row>
    <row r="31">
      <c r="A31" t="inlineStr">
        <is>
          <t>WRR</t>
        </is>
      </c>
      <c r="B31" t="n">
        <v>0.6</v>
      </c>
      <c r="C31" t="n">
        <v>299</v>
      </c>
      <c r="D31" t="n">
        <v>70</v>
      </c>
    </row>
    <row r="32">
      <c r="A32" t="inlineStr">
        <is>
          <t>MemLess</t>
        </is>
      </c>
      <c r="B32" t="n">
        <v>0.7</v>
      </c>
      <c r="C32" t="n">
        <v>244</v>
      </c>
      <c r="D32" t="n">
        <v>30</v>
      </c>
    </row>
    <row r="33">
      <c r="A33" t="inlineStr">
        <is>
          <t>Aging</t>
        </is>
      </c>
      <c r="B33" t="n">
        <v>0.7</v>
      </c>
      <c r="C33" t="n">
        <v>244</v>
      </c>
      <c r="D33" t="n">
        <v>30</v>
      </c>
    </row>
    <row r="34">
      <c r="A34" t="inlineStr">
        <is>
          <t>DRR</t>
        </is>
      </c>
      <c r="B34" t="n">
        <v>0.7</v>
      </c>
      <c r="C34" t="n">
        <v>244</v>
      </c>
      <c r="D34" t="n">
        <v>30</v>
      </c>
    </row>
    <row r="35">
      <c r="A35" t="inlineStr">
        <is>
          <t>RR</t>
        </is>
      </c>
      <c r="B35" t="n">
        <v>0.7</v>
      </c>
      <c r="C35" t="n">
        <v>553</v>
      </c>
      <c r="D35" t="n">
        <v>85</v>
      </c>
    </row>
    <row r="36">
      <c r="A36" t="inlineStr">
        <is>
          <t>WRR</t>
        </is>
      </c>
      <c r="B36" t="n">
        <v>0.7</v>
      </c>
      <c r="C36" t="n">
        <v>553</v>
      </c>
      <c r="D36" t="n">
        <v>85</v>
      </c>
    </row>
    <row r="37">
      <c r="A37" t="inlineStr">
        <is>
          <t>MemLess</t>
        </is>
      </c>
      <c r="B37" t="n">
        <v>0.8</v>
      </c>
      <c r="C37" t="n">
        <v>244</v>
      </c>
      <c r="D37" t="n">
        <v>30</v>
      </c>
    </row>
    <row r="38">
      <c r="A38" t="inlineStr">
        <is>
          <t>Aging</t>
        </is>
      </c>
      <c r="B38" t="n">
        <v>0.8</v>
      </c>
      <c r="C38" t="n">
        <v>0</v>
      </c>
      <c r="D38" t="n">
        <v>0</v>
      </c>
    </row>
    <row r="39">
      <c r="A39" t="inlineStr">
        <is>
          <t>DRR</t>
        </is>
      </c>
      <c r="B39" t="n">
        <v>0.8</v>
      </c>
      <c r="C39" t="n">
        <v>244</v>
      </c>
      <c r="D39" t="n">
        <v>30</v>
      </c>
    </row>
    <row r="40">
      <c r="A40" t="inlineStr">
        <is>
          <t>RR</t>
        </is>
      </c>
      <c r="B40" t="n">
        <v>0.8</v>
      </c>
      <c r="C40" t="n">
        <v>173</v>
      </c>
      <c r="D40" t="n">
        <v>80</v>
      </c>
    </row>
    <row r="41">
      <c r="A41" t="inlineStr">
        <is>
          <t>WRR</t>
        </is>
      </c>
      <c r="B41" t="n">
        <v>0.8</v>
      </c>
      <c r="C41" t="n">
        <v>173</v>
      </c>
      <c r="D4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</cols>
  <sheetData>
    <row r="2">
      <c r="A2" s="1" t="inlineStr">
        <is>
          <t>AvgBV = average of BV over the 8 RTW fractions. Source: Summary!C. Denominator = 8.</t>
        </is>
      </c>
    </row>
    <row r="4">
      <c r="A4" s="2" t="inlineStr">
        <is>
          <t>Algorithm</t>
        </is>
      </c>
      <c r="B4" s="2" t="inlineStr">
        <is>
          <t>Avg BV</t>
        </is>
      </c>
      <c r="C4" s="2" t="inlineStr">
        <is>
          <t># RTW fractions</t>
        </is>
      </c>
    </row>
    <row r="5">
      <c r="A5" s="3" t="inlineStr">
        <is>
          <t>MemLess</t>
        </is>
      </c>
      <c r="B5" s="4">
        <f>AVERAGE(Summary!C2,Summary!C7,Summary!C12,Summary!C17,Summary!C22,Summary!C27,Summary!C32,Summary!C37)</f>
        <v/>
      </c>
      <c r="C5" s="3" t="n">
        <v>8</v>
      </c>
    </row>
    <row r="6">
      <c r="A6" s="3" t="inlineStr">
        <is>
          <t>Aging</t>
        </is>
      </c>
      <c r="B6" s="5">
        <f>AVERAGE(Summary!C3,Summary!C8,Summary!C13,Summary!C18,Summary!C23,Summary!C28,Summary!C33,Summary!C38)</f>
        <v/>
      </c>
      <c r="C6" s="3" t="n">
        <v>8</v>
      </c>
    </row>
    <row r="7">
      <c r="A7" s="3" t="inlineStr">
        <is>
          <t>DRR</t>
        </is>
      </c>
      <c r="B7" s="5">
        <f>AVERAGE(Summary!C4,Summary!C9,Summary!C14,Summary!C19,Summary!C24,Summary!C29,Summary!C34,Summary!C39)</f>
        <v/>
      </c>
      <c r="C7" s="3" t="n">
        <v>8</v>
      </c>
    </row>
    <row r="8">
      <c r="A8" s="3" t="inlineStr">
        <is>
          <t>RR</t>
        </is>
      </c>
      <c r="B8" s="5">
        <f>AVERAGE(Summary!C5,Summary!C10,Summary!C15,Summary!C20,Summary!C25,Summary!C30,Summary!C35,Summary!C40)</f>
        <v/>
      </c>
      <c r="C8" s="3" t="n">
        <v>8</v>
      </c>
    </row>
    <row r="9">
      <c r="A9" s="3" t="inlineStr">
        <is>
          <t>WRR</t>
        </is>
      </c>
      <c r="B9" s="5">
        <f>AVERAGE(Summary!C6,Summary!C11,Summary!C16,Summary!C21,Summary!C26,Summary!C31,Summary!C36,Summary!C41)</f>
        <v/>
      </c>
      <c r="C9" s="3" t="n">
        <v>8</v>
      </c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</cols>
  <sheetData>
    <row r="2">
      <c r="A2" s="1" t="inlineStr">
        <is>
          <t>AvgCoverage = average of Coverage over the 8 RTW fractions. Source: Summary!D. Denominator = 8.</t>
        </is>
      </c>
    </row>
    <row r="4">
      <c r="A4" s="2" t="inlineStr">
        <is>
          <t>Algorithm</t>
        </is>
      </c>
      <c r="B4" s="2" t="inlineStr">
        <is>
          <t>Avg Coverage (%)</t>
        </is>
      </c>
      <c r="C4" s="2" t="inlineStr">
        <is>
          <t># RTW fractions</t>
        </is>
      </c>
    </row>
    <row r="5">
      <c r="A5" s="3" t="inlineStr">
        <is>
          <t>MemLess</t>
        </is>
      </c>
      <c r="B5" s="4">
        <f>AVERAGE(Summary!D2,Summary!D7,Summary!D12,Summary!D17,Summary!D22,Summary!D27,Summary!D32,Summary!D37)</f>
        <v/>
      </c>
      <c r="C5" s="3" t="n">
        <v>8</v>
      </c>
    </row>
    <row r="6">
      <c r="A6" s="3" t="inlineStr">
        <is>
          <t>Aging</t>
        </is>
      </c>
      <c r="B6" s="5">
        <f>AVERAGE(Summary!D3,Summary!D8,Summary!D13,Summary!D18,Summary!D23,Summary!D28,Summary!D33,Summary!D38)</f>
        <v/>
      </c>
      <c r="C6" s="3" t="n">
        <v>8</v>
      </c>
    </row>
    <row r="7">
      <c r="A7" s="3" t="inlineStr">
        <is>
          <t>DRR</t>
        </is>
      </c>
      <c r="B7" s="5">
        <f>AVERAGE(Summary!D4,Summary!D9,Summary!D14,Summary!D19,Summary!D24,Summary!D29,Summary!D34,Summary!D39)</f>
        <v/>
      </c>
      <c r="C7" s="3" t="n">
        <v>8</v>
      </c>
    </row>
    <row r="8">
      <c r="A8" s="3" t="inlineStr">
        <is>
          <t>RR</t>
        </is>
      </c>
      <c r="B8" s="5">
        <f>AVERAGE(Summary!D5,Summary!D10,Summary!D15,Summary!D20,Summary!D25,Summary!D30,Summary!D35,Summary!D40)</f>
        <v/>
      </c>
      <c r="C8" s="3" t="n">
        <v>8</v>
      </c>
    </row>
    <row r="9">
      <c r="A9" s="3" t="inlineStr">
        <is>
          <t>WRR</t>
        </is>
      </c>
      <c r="B9" s="5">
        <f>AVERAGE(Summary!D6,Summary!D11,Summary!D16,Summary!D21,Summary!D26,Summary!D31,Summary!D36,Summary!D41)</f>
        <v/>
      </c>
      <c r="C9" s="3" t="n">
        <v>8</v>
      </c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2">
      <c r="A2" s="1" t="inlineStr">
        <is>
          <t>BVLoss(alg, rtw) = (BV_MemLess − BV_alg)/BV_MemLess × 100. Last column = average across the 8 RTWs.</t>
        </is>
      </c>
    </row>
    <row r="4">
      <c r="A4" s="2" t="inlineStr">
        <is>
          <t>Algorithm</t>
        </is>
      </c>
      <c r="B4" s="2" t="inlineStr">
        <is>
          <t>RTW=0.1</t>
        </is>
      </c>
      <c r="C4" s="2" t="inlineStr">
        <is>
          <t>RTW=0.2</t>
        </is>
      </c>
      <c r="D4" s="2" t="inlineStr">
        <is>
          <t>RTW=0.3</t>
        </is>
      </c>
      <c r="E4" s="2" t="inlineStr">
        <is>
          <t>RTW=0.4</t>
        </is>
      </c>
      <c r="F4" s="2" t="inlineStr">
        <is>
          <t>RTW=0.5</t>
        </is>
      </c>
      <c r="G4" s="2" t="inlineStr">
        <is>
          <t>RTW=0.6</t>
        </is>
      </c>
      <c r="H4" s="2" t="inlineStr">
        <is>
          <t>RTW=0.7</t>
        </is>
      </c>
      <c r="I4" s="2" t="inlineStr">
        <is>
          <t>RTW=0.8</t>
        </is>
      </c>
      <c r="J4" s="2" t="inlineStr">
        <is>
          <t>Avg BV Loss (%)</t>
        </is>
      </c>
    </row>
    <row r="5">
      <c r="A5" s="3" t="inlineStr">
        <is>
          <t>Aging</t>
        </is>
      </c>
      <c r="B5" s="5">
        <f>IF(Summary!C2=0,0,(Summary!C2-Summary!C3)/Summary!C2*100)</f>
        <v/>
      </c>
      <c r="C5" s="5">
        <f>IF(Summary!C7=0,0,(Summary!C7-Summary!C8)/Summary!C7*100)</f>
        <v/>
      </c>
      <c r="D5" s="5">
        <f>IF(Summary!C12=0,0,(Summary!C12-Summary!C13)/Summary!C12*100)</f>
        <v/>
      </c>
      <c r="E5" s="5">
        <f>IF(Summary!C17=0,0,(Summary!C17-Summary!C18)/Summary!C17*100)</f>
        <v/>
      </c>
      <c r="F5" s="5">
        <f>IF(Summary!C22=0,0,(Summary!C22-Summary!C23)/Summary!C22*100)</f>
        <v/>
      </c>
      <c r="G5" s="5">
        <f>IF(Summary!C27=0,0,(Summary!C27-Summary!C28)/Summary!C27*100)</f>
        <v/>
      </c>
      <c r="H5" s="5">
        <f>IF(Summary!C32=0,0,(Summary!C32-Summary!C33)/Summary!C32*100)</f>
        <v/>
      </c>
      <c r="I5" s="5">
        <f>IF(Summary!C37=0,0,(Summary!C37-Summary!C38)/Summary!C37*100)</f>
        <v/>
      </c>
      <c r="J5" s="4">
        <f>AVERAGE(B5:I5)</f>
        <v/>
      </c>
    </row>
    <row r="6">
      <c r="A6" s="3" t="inlineStr">
        <is>
          <t>DRR</t>
        </is>
      </c>
      <c r="B6" s="5">
        <f>IF(Summary!C2=0,0,(Summary!C2-Summary!C4)/Summary!C2*100)</f>
        <v/>
      </c>
      <c r="C6" s="5">
        <f>IF(Summary!C7=0,0,(Summary!C7-Summary!C9)/Summary!C7*100)</f>
        <v/>
      </c>
      <c r="D6" s="5">
        <f>IF(Summary!C12=0,0,(Summary!C12-Summary!C14)/Summary!C12*100)</f>
        <v/>
      </c>
      <c r="E6" s="5">
        <f>IF(Summary!C17=0,0,(Summary!C17-Summary!C19)/Summary!C17*100)</f>
        <v/>
      </c>
      <c r="F6" s="5">
        <f>IF(Summary!C22=0,0,(Summary!C22-Summary!C24)/Summary!C22*100)</f>
        <v/>
      </c>
      <c r="G6" s="5">
        <f>IF(Summary!C27=0,0,(Summary!C27-Summary!C29)/Summary!C27*100)</f>
        <v/>
      </c>
      <c r="H6" s="5">
        <f>IF(Summary!C32=0,0,(Summary!C32-Summary!C34)/Summary!C32*100)</f>
        <v/>
      </c>
      <c r="I6" s="5">
        <f>IF(Summary!C37=0,0,(Summary!C37-Summary!C39)/Summary!C37*100)</f>
        <v/>
      </c>
      <c r="J6" s="4">
        <f>AVERAGE(B6:I6)</f>
        <v/>
      </c>
    </row>
    <row r="7">
      <c r="A7" s="3" t="inlineStr">
        <is>
          <t>RR</t>
        </is>
      </c>
      <c r="B7" s="5">
        <f>IF(Summary!C2=0,0,(Summary!C2-Summary!C5)/Summary!C2*100)</f>
        <v/>
      </c>
      <c r="C7" s="5">
        <f>IF(Summary!C7=0,0,(Summary!C7-Summary!C10)/Summary!C7*100)</f>
        <v/>
      </c>
      <c r="D7" s="5">
        <f>IF(Summary!C12=0,0,(Summary!C12-Summary!C15)/Summary!C12*100)</f>
        <v/>
      </c>
      <c r="E7" s="5">
        <f>IF(Summary!C17=0,0,(Summary!C17-Summary!C20)/Summary!C17*100)</f>
        <v/>
      </c>
      <c r="F7" s="5">
        <f>IF(Summary!C22=0,0,(Summary!C22-Summary!C25)/Summary!C22*100)</f>
        <v/>
      </c>
      <c r="G7" s="5">
        <f>IF(Summary!C27=0,0,(Summary!C27-Summary!C30)/Summary!C27*100)</f>
        <v/>
      </c>
      <c r="H7" s="5">
        <f>IF(Summary!C32=0,0,(Summary!C32-Summary!C35)/Summary!C32*100)</f>
        <v/>
      </c>
      <c r="I7" s="5">
        <f>IF(Summary!C37=0,0,(Summary!C37-Summary!C40)/Summary!C37*100)</f>
        <v/>
      </c>
      <c r="J7" s="4">
        <f>AVERAGE(B7:I7)</f>
        <v/>
      </c>
    </row>
    <row r="8">
      <c r="A8" s="3" t="inlineStr">
        <is>
          <t>WRR</t>
        </is>
      </c>
      <c r="B8" s="5">
        <f>IF(Summary!C2=0,0,(Summary!C2-Summary!C6)/Summary!C2*100)</f>
        <v/>
      </c>
      <c r="C8" s="5">
        <f>IF(Summary!C7=0,0,(Summary!C7-Summary!C11)/Summary!C7*100)</f>
        <v/>
      </c>
      <c r="D8" s="5">
        <f>IF(Summary!C12=0,0,(Summary!C12-Summary!C16)/Summary!C12*100)</f>
        <v/>
      </c>
      <c r="E8" s="5">
        <f>IF(Summary!C17=0,0,(Summary!C17-Summary!C21)/Summary!C17*100)</f>
        <v/>
      </c>
      <c r="F8" s="5">
        <f>IF(Summary!C22=0,0,(Summary!C22-Summary!C26)/Summary!C22*100)</f>
        <v/>
      </c>
      <c r="G8" s="5">
        <f>IF(Summary!C27=0,0,(Summary!C27-Summary!C31)/Summary!C27*100)</f>
        <v/>
      </c>
      <c r="H8" s="5">
        <f>IF(Summary!C32=0,0,(Summary!C32-Summary!C36)/Summary!C32*100)</f>
        <v/>
      </c>
      <c r="I8" s="5">
        <f>IF(Summary!C37=0,0,(Summary!C37-Summary!C41)/Summary!C37*100)</f>
        <v/>
      </c>
      <c r="J8" s="4">
        <f>AVERAGE(B8:I8)</f>
        <v/>
      </c>
    </row>
  </sheetData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</cols>
  <sheetData>
    <row r="2">
      <c r="A2" s="1" t="inlineStr">
        <is>
          <t>CoverageGap(alg, rtw) = Coverage_MemLess − Coverage_alg (pp). Last column = average across the 8 RTWs.</t>
        </is>
      </c>
    </row>
    <row r="4">
      <c r="A4" s="2" t="inlineStr">
        <is>
          <t>Algorithm</t>
        </is>
      </c>
      <c r="B4" s="2" t="inlineStr">
        <is>
          <t>RTW=0.1</t>
        </is>
      </c>
      <c r="C4" s="2" t="inlineStr">
        <is>
          <t>RTW=0.2</t>
        </is>
      </c>
      <c r="D4" s="2" t="inlineStr">
        <is>
          <t>RTW=0.3</t>
        </is>
      </c>
      <c r="E4" s="2" t="inlineStr">
        <is>
          <t>RTW=0.4</t>
        </is>
      </c>
      <c r="F4" s="2" t="inlineStr">
        <is>
          <t>RTW=0.5</t>
        </is>
      </c>
      <c r="G4" s="2" t="inlineStr">
        <is>
          <t>RTW=0.6</t>
        </is>
      </c>
      <c r="H4" s="2" t="inlineStr">
        <is>
          <t>RTW=0.7</t>
        </is>
      </c>
      <c r="I4" s="2" t="inlineStr">
        <is>
          <t>RTW=0.8</t>
        </is>
      </c>
      <c r="J4" s="2" t="inlineStr">
        <is>
          <t>Avg Coverage Gap (pp)</t>
        </is>
      </c>
    </row>
    <row r="5">
      <c r="A5" s="3" t="inlineStr">
        <is>
          <t>Aging</t>
        </is>
      </c>
      <c r="B5" s="5">
        <f>Summary!D2-Summary!D3</f>
        <v/>
      </c>
      <c r="C5" s="5">
        <f>Summary!D7-Summary!D8</f>
        <v/>
      </c>
      <c r="D5" s="5">
        <f>Summary!D12-Summary!D13</f>
        <v/>
      </c>
      <c r="E5" s="5">
        <f>Summary!D17-Summary!D18</f>
        <v/>
      </c>
      <c r="F5" s="5">
        <f>Summary!D22-Summary!D23</f>
        <v/>
      </c>
      <c r="G5" s="5">
        <f>Summary!D27-Summary!D28</f>
        <v/>
      </c>
      <c r="H5" s="5">
        <f>Summary!D32-Summary!D33</f>
        <v/>
      </c>
      <c r="I5" s="5">
        <f>Summary!D37-Summary!D38</f>
        <v/>
      </c>
      <c r="J5" s="4">
        <f>AVERAGE(B5:I5)</f>
        <v/>
      </c>
    </row>
    <row r="6">
      <c r="A6" s="3" t="inlineStr">
        <is>
          <t>DRR</t>
        </is>
      </c>
      <c r="B6" s="5">
        <f>Summary!D2-Summary!D4</f>
        <v/>
      </c>
      <c r="C6" s="5">
        <f>Summary!D7-Summary!D9</f>
        <v/>
      </c>
      <c r="D6" s="5">
        <f>Summary!D12-Summary!D14</f>
        <v/>
      </c>
      <c r="E6" s="5">
        <f>Summary!D17-Summary!D19</f>
        <v/>
      </c>
      <c r="F6" s="5">
        <f>Summary!D22-Summary!D24</f>
        <v/>
      </c>
      <c r="G6" s="5">
        <f>Summary!D27-Summary!D29</f>
        <v/>
      </c>
      <c r="H6" s="5">
        <f>Summary!D32-Summary!D34</f>
        <v/>
      </c>
      <c r="I6" s="5">
        <f>Summary!D37-Summary!D39</f>
        <v/>
      </c>
      <c r="J6" s="4">
        <f>AVERAGE(B6:I6)</f>
        <v/>
      </c>
    </row>
    <row r="7">
      <c r="A7" s="3" t="inlineStr">
        <is>
          <t>RR</t>
        </is>
      </c>
      <c r="B7" s="5">
        <f>Summary!D2-Summary!D5</f>
        <v/>
      </c>
      <c r="C7" s="5">
        <f>Summary!D7-Summary!D10</f>
        <v/>
      </c>
      <c r="D7" s="5">
        <f>Summary!D12-Summary!D15</f>
        <v/>
      </c>
      <c r="E7" s="5">
        <f>Summary!D17-Summary!D20</f>
        <v/>
      </c>
      <c r="F7" s="5">
        <f>Summary!D22-Summary!D25</f>
        <v/>
      </c>
      <c r="G7" s="5">
        <f>Summary!D27-Summary!D30</f>
        <v/>
      </c>
      <c r="H7" s="5">
        <f>Summary!D32-Summary!D35</f>
        <v/>
      </c>
      <c r="I7" s="5">
        <f>Summary!D37-Summary!D40</f>
        <v/>
      </c>
      <c r="J7" s="4">
        <f>AVERAGE(B7:I7)</f>
        <v/>
      </c>
    </row>
    <row r="8">
      <c r="A8" s="3" t="inlineStr">
        <is>
          <t>WRR</t>
        </is>
      </c>
      <c r="B8" s="5">
        <f>Summary!D2-Summary!D6</f>
        <v/>
      </c>
      <c r="C8" s="5">
        <f>Summary!D7-Summary!D11</f>
        <v/>
      </c>
      <c r="D8" s="5">
        <f>Summary!D12-Summary!D16</f>
        <v/>
      </c>
      <c r="E8" s="5">
        <f>Summary!D17-Summary!D21</f>
        <v/>
      </c>
      <c r="F8" s="5">
        <f>Summary!D22-Summary!D26</f>
        <v/>
      </c>
      <c r="G8" s="5">
        <f>Summary!D27-Summary!D31</f>
        <v/>
      </c>
      <c r="H8" s="5">
        <f>Summary!D32-Summary!D36</f>
        <v/>
      </c>
      <c r="I8" s="5">
        <f>Summary!D37-Summary!D41</f>
        <v/>
      </c>
      <c r="J8" s="4">
        <f>AVERAGE(B8:I8)</f>
        <v/>
      </c>
    </row>
  </sheetData>
  <mergeCells count="1"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</cols>
  <sheetData>
    <row r="2">
      <c r="A2" s="1" t="inlineStr">
        <is>
          <t>AvgSkipped(A, r) = AVERAGE of Wait_Req_A column for r over rows 2..37. Denominator = 36.</t>
        </is>
      </c>
    </row>
    <row r="4">
      <c r="A4" s="2" t="inlineStr">
        <is>
          <t>Algorithm</t>
        </is>
      </c>
      <c r="B4" s="2" t="inlineStr">
        <is>
          <t>RTW=0.1</t>
        </is>
      </c>
      <c r="C4" s="2" t="inlineStr">
        <is>
          <t>RTW=0.2</t>
        </is>
      </c>
      <c r="D4" s="2" t="inlineStr">
        <is>
          <t>RTW=0.3</t>
        </is>
      </c>
      <c r="E4" s="2" t="inlineStr">
        <is>
          <t>RTW=0.4</t>
        </is>
      </c>
      <c r="F4" s="2" t="inlineStr">
        <is>
          <t>RTW=0.5</t>
        </is>
      </c>
      <c r="G4" s="2" t="inlineStr">
        <is>
          <t>RTW=0.6</t>
        </is>
      </c>
      <c r="H4" s="2" t="inlineStr">
        <is>
          <t>RTW=0.7</t>
        </is>
      </c>
      <c r="I4" s="2" t="inlineStr">
        <is>
          <t>RTW=0.8</t>
        </is>
      </c>
      <c r="J4" s="2" t="inlineStr">
        <is>
          <t>Row Avg across RTWs</t>
        </is>
      </c>
    </row>
    <row r="5">
      <c r="A5" s="3" t="inlineStr">
        <is>
          <t>MemLess</t>
        </is>
      </c>
      <c r="B5" s="6">
        <f>AVERAGE('Wait_Req_MemLess'!B2:B37)</f>
        <v/>
      </c>
      <c r="C5" s="6">
        <f>AVERAGE('Wait_Req_MemLess'!C2:C37)</f>
        <v/>
      </c>
      <c r="D5" s="6">
        <f>AVERAGE('Wait_Req_MemLess'!D2:D37)</f>
        <v/>
      </c>
      <c r="E5" s="6">
        <f>AVERAGE('Wait_Req_MemLess'!E2:E37)</f>
        <v/>
      </c>
      <c r="F5" s="6">
        <f>AVERAGE('Wait_Req_MemLess'!F2:F37)</f>
        <v/>
      </c>
      <c r="G5" s="6">
        <f>AVERAGE('Wait_Req_MemLess'!G2:G37)</f>
        <v/>
      </c>
      <c r="H5" s="6">
        <f>AVERAGE('Wait_Req_MemLess'!H2:H37)</f>
        <v/>
      </c>
      <c r="I5" s="6">
        <f>AVERAGE('Wait_Req_MemLess'!I2:I37)</f>
        <v/>
      </c>
      <c r="J5" s="7">
        <f>AVERAGE(B5:I5)</f>
        <v/>
      </c>
    </row>
    <row r="6">
      <c r="A6" s="3" t="inlineStr">
        <is>
          <t>Aging</t>
        </is>
      </c>
      <c r="B6" s="6">
        <f>AVERAGE('Wait_Req_Aging'!B2:B37)</f>
        <v/>
      </c>
      <c r="C6" s="6">
        <f>AVERAGE('Wait_Req_Aging'!C2:C37)</f>
        <v/>
      </c>
      <c r="D6" s="6">
        <f>AVERAGE('Wait_Req_Aging'!D2:D37)</f>
        <v/>
      </c>
      <c r="E6" s="6">
        <f>AVERAGE('Wait_Req_Aging'!E2:E37)</f>
        <v/>
      </c>
      <c r="F6" s="6">
        <f>AVERAGE('Wait_Req_Aging'!F2:F37)</f>
        <v/>
      </c>
      <c r="G6" s="6">
        <f>AVERAGE('Wait_Req_Aging'!G2:G37)</f>
        <v/>
      </c>
      <c r="H6" s="6">
        <f>AVERAGE('Wait_Req_Aging'!H2:H37)</f>
        <v/>
      </c>
      <c r="I6" s="6">
        <f>AVERAGE('Wait_Req_Aging'!I2:I37)</f>
        <v/>
      </c>
      <c r="J6" s="7">
        <f>AVERAGE(B6:I6)</f>
        <v/>
      </c>
    </row>
    <row r="7">
      <c r="A7" s="3" t="inlineStr">
        <is>
          <t>DRR</t>
        </is>
      </c>
      <c r="B7" s="6">
        <f>AVERAGE('Wait_Req_DRR'!B2:B37)</f>
        <v/>
      </c>
      <c r="C7" s="6">
        <f>AVERAGE('Wait_Req_DRR'!C2:C37)</f>
        <v/>
      </c>
      <c r="D7" s="6">
        <f>AVERAGE('Wait_Req_DRR'!D2:D37)</f>
        <v/>
      </c>
      <c r="E7" s="6">
        <f>AVERAGE('Wait_Req_DRR'!E2:E37)</f>
        <v/>
      </c>
      <c r="F7" s="6">
        <f>AVERAGE('Wait_Req_DRR'!F2:F37)</f>
        <v/>
      </c>
      <c r="G7" s="6">
        <f>AVERAGE('Wait_Req_DRR'!G2:G37)</f>
        <v/>
      </c>
      <c r="H7" s="6">
        <f>AVERAGE('Wait_Req_DRR'!H2:H37)</f>
        <v/>
      </c>
      <c r="I7" s="6">
        <f>AVERAGE('Wait_Req_DRR'!I2:I37)</f>
        <v/>
      </c>
      <c r="J7" s="7">
        <f>AVERAGE(B7:I7)</f>
        <v/>
      </c>
    </row>
    <row r="8">
      <c r="A8" s="3" t="inlineStr">
        <is>
          <t>RR</t>
        </is>
      </c>
      <c r="B8" s="6">
        <f>AVERAGE('Wait_Req_RR'!B2:B37)</f>
        <v/>
      </c>
      <c r="C8" s="6">
        <f>AVERAGE('Wait_Req_RR'!C2:C37)</f>
        <v/>
      </c>
      <c r="D8" s="6">
        <f>AVERAGE('Wait_Req_RR'!D2:D37)</f>
        <v/>
      </c>
      <c r="E8" s="6">
        <f>AVERAGE('Wait_Req_RR'!E2:E37)</f>
        <v/>
      </c>
      <c r="F8" s="6">
        <f>AVERAGE('Wait_Req_RR'!F2:F37)</f>
        <v/>
      </c>
      <c r="G8" s="6">
        <f>AVERAGE('Wait_Req_RR'!G2:G37)</f>
        <v/>
      </c>
      <c r="H8" s="6">
        <f>AVERAGE('Wait_Req_RR'!H2:H37)</f>
        <v/>
      </c>
      <c r="I8" s="6">
        <f>AVERAGE('Wait_Req_RR'!I2:I37)</f>
        <v/>
      </c>
      <c r="J8" s="7">
        <f>AVERAGE(B8:I8)</f>
        <v/>
      </c>
    </row>
    <row r="9">
      <c r="A9" s="3" t="inlineStr">
        <is>
          <t>WRR</t>
        </is>
      </c>
      <c r="B9" s="6">
        <f>AVERAGE('Wait_Req_WRR'!B2:B37)</f>
        <v/>
      </c>
      <c r="C9" s="6">
        <f>AVERAGE('Wait_Req_WRR'!C2:C37)</f>
        <v/>
      </c>
      <c r="D9" s="6">
        <f>AVERAGE('Wait_Req_WRR'!D2:D37)</f>
        <v/>
      </c>
      <c r="E9" s="6">
        <f>AVERAGE('Wait_Req_WRR'!E2:E37)</f>
        <v/>
      </c>
      <c r="F9" s="6">
        <f>AVERAGE('Wait_Req_WRR'!F2:F37)</f>
        <v/>
      </c>
      <c r="G9" s="6">
        <f>AVERAGE('Wait_Req_WRR'!G2:G37)</f>
        <v/>
      </c>
      <c r="H9" s="6">
        <f>AVERAGE('Wait_Req_WRR'!H2:H37)</f>
        <v/>
      </c>
      <c r="I9" s="6">
        <f>AVERAGE('Wait_Req_WRR'!I2:I37)</f>
        <v/>
      </c>
      <c r="J9" s="7">
        <f>AVERAGE(B9:I9)</f>
        <v/>
      </c>
    </row>
  </sheetData>
  <mergeCells count="1"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13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14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n">
        <v>15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16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20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24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31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32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40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41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42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49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4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</row>
    <row r="3">
      <c r="A3" t="n">
        <v>6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</row>
    <row r="4">
      <c r="A4" t="n">
        <v>8</v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</row>
    <row r="5">
      <c r="A5" t="n">
        <v>11</v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</row>
    <row r="6">
      <c r="A6" t="n">
        <v>13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14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18</v>
      </c>
      <c r="B10" t="n">
        <v>0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6</v>
      </c>
      <c r="I10" t="n">
        <v>7</v>
      </c>
    </row>
    <row r="11">
      <c r="A11" t="n">
        <v>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</v>
      </c>
      <c r="B12" t="n">
        <v>0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6</v>
      </c>
      <c r="I12" t="n">
        <v>7</v>
      </c>
    </row>
    <row r="13">
      <c r="A13" t="n">
        <v>22</v>
      </c>
      <c r="B13" t="n">
        <v>0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6</v>
      </c>
      <c r="I13" t="n">
        <v>7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25</v>
      </c>
      <c r="B16" t="n">
        <v>0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6</v>
      </c>
      <c r="I16" t="n">
        <v>7</v>
      </c>
    </row>
    <row r="17">
      <c r="A17" t="n">
        <v>26</v>
      </c>
      <c r="B17" t="n">
        <v>0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7</v>
      </c>
    </row>
    <row r="18">
      <c r="A18" t="n">
        <v>29</v>
      </c>
      <c r="B18" t="n">
        <v>0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6</v>
      </c>
      <c r="I18" t="n">
        <v>7</v>
      </c>
    </row>
    <row r="19">
      <c r="A19" t="n">
        <v>31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32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33</v>
      </c>
      <c r="B21" t="n">
        <v>0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6</v>
      </c>
      <c r="I21" t="n">
        <v>7</v>
      </c>
    </row>
    <row r="22">
      <c r="A22" t="n">
        <v>34</v>
      </c>
      <c r="B22" t="n">
        <v>0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6</v>
      </c>
      <c r="I22" t="n">
        <v>7</v>
      </c>
    </row>
    <row r="23">
      <c r="A23" t="n">
        <v>35</v>
      </c>
      <c r="B23" t="n">
        <v>0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6</v>
      </c>
      <c r="I23" t="n">
        <v>7</v>
      </c>
    </row>
    <row r="24">
      <c r="A24" t="n">
        <v>36</v>
      </c>
      <c r="B24" t="n">
        <v>0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6</v>
      </c>
      <c r="I24" t="n">
        <v>7</v>
      </c>
    </row>
    <row r="25">
      <c r="A25" t="n">
        <v>37</v>
      </c>
      <c r="B25" t="n">
        <v>0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6</v>
      </c>
      <c r="I25" t="n">
        <v>7</v>
      </c>
    </row>
    <row r="26">
      <c r="A26" t="n">
        <v>38</v>
      </c>
      <c r="B26" t="n">
        <v>0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6</v>
      </c>
      <c r="I26" t="n">
        <v>7</v>
      </c>
    </row>
    <row r="27">
      <c r="A27" t="n">
        <v>40</v>
      </c>
      <c r="B27" t="n">
        <v>0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6</v>
      </c>
      <c r="I27" t="n">
        <v>7</v>
      </c>
    </row>
    <row r="28">
      <c r="A28" t="n">
        <v>41</v>
      </c>
      <c r="B28" t="n">
        <v>0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6</v>
      </c>
      <c r="I28" t="n">
        <v>7</v>
      </c>
    </row>
    <row r="29">
      <c r="A29" t="n">
        <v>42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47</v>
      </c>
      <c r="B30" t="n">
        <v>0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6</v>
      </c>
      <c r="I30" t="n">
        <v>7</v>
      </c>
    </row>
    <row r="31">
      <c r="A31" t="n">
        <v>48</v>
      </c>
      <c r="B31" t="n">
        <v>0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6</v>
      </c>
      <c r="I31" t="n">
        <v>7</v>
      </c>
    </row>
    <row r="32">
      <c r="A32" t="n">
        <v>49</v>
      </c>
      <c r="B32" t="n">
        <v>0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6</v>
      </c>
      <c r="I32" t="n">
        <v>7</v>
      </c>
    </row>
    <row r="33">
      <c r="A33" t="n">
        <v>50</v>
      </c>
      <c r="B33" t="n">
        <v>0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6</v>
      </c>
      <c r="I33" t="n">
        <v>7</v>
      </c>
    </row>
    <row r="34">
      <c r="A34" t="n">
        <v>51</v>
      </c>
      <c r="B34" t="n">
        <v>0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6</v>
      </c>
      <c r="I34" t="n">
        <v>7</v>
      </c>
    </row>
    <row r="35">
      <c r="A35" t="n">
        <v>55</v>
      </c>
      <c r="B35" t="n">
        <v>0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6</v>
      </c>
      <c r="I35" t="n">
        <v>7</v>
      </c>
    </row>
    <row r="36">
      <c r="A36" t="n">
        <v>56</v>
      </c>
      <c r="B36" t="n">
        <v>0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6</v>
      </c>
      <c r="I36" t="n">
        <v>7</v>
      </c>
    </row>
    <row r="37">
      <c r="A37" t="n">
        <v>57</v>
      </c>
      <c r="B37" t="n">
        <v>0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6</v>
      </c>
      <c r="I3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748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893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894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895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896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897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898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899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900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901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1005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1060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1159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1864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1883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2174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3496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3512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3612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4020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748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</row>
    <row r="3">
      <c r="A3" t="n">
        <v>893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</row>
    <row r="4">
      <c r="A4" t="n">
        <v>894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895</v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</row>
    <row r="6">
      <c r="A6" t="n">
        <v>896</v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6</v>
      </c>
      <c r="I6" t="n">
        <v>7</v>
      </c>
    </row>
    <row r="7">
      <c r="A7" t="n">
        <v>897</v>
      </c>
      <c r="B7" t="n">
        <v>0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</row>
    <row r="8">
      <c r="A8" t="n">
        <v>898</v>
      </c>
      <c r="B8" t="n">
        <v>0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6</v>
      </c>
      <c r="I8" t="n">
        <v>7</v>
      </c>
    </row>
    <row r="9">
      <c r="A9" t="n">
        <v>899</v>
      </c>
      <c r="B9" t="n">
        <v>0</v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6</v>
      </c>
      <c r="I9" t="n">
        <v>7</v>
      </c>
    </row>
    <row r="10">
      <c r="A10" t="n">
        <v>900</v>
      </c>
      <c r="B10" t="n">
        <v>0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6</v>
      </c>
      <c r="I10" t="n">
        <v>7</v>
      </c>
    </row>
    <row r="11">
      <c r="A11" t="n">
        <v>901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1060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1159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1864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1883</v>
      </c>
      <c r="B16" t="n">
        <v>0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6</v>
      </c>
      <c r="I16" t="n">
        <v>7</v>
      </c>
    </row>
    <row r="17">
      <c r="A17" t="n">
        <v>2174</v>
      </c>
      <c r="B17" t="n">
        <v>0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7</v>
      </c>
    </row>
    <row r="18">
      <c r="A18" t="n">
        <v>3496</v>
      </c>
      <c r="B18" t="n">
        <v>0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6</v>
      </c>
      <c r="I18" t="n">
        <v>7</v>
      </c>
    </row>
    <row r="19">
      <c r="A19" t="n">
        <v>3512</v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6</v>
      </c>
      <c r="I19" t="n">
        <v>7</v>
      </c>
    </row>
    <row r="20">
      <c r="A20" t="n">
        <v>3612</v>
      </c>
      <c r="B20" t="n">
        <v>0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6</v>
      </c>
      <c r="I20" t="n">
        <v>7</v>
      </c>
    </row>
    <row r="21">
      <c r="A21" t="n">
        <v>4020</v>
      </c>
      <c r="B21" t="n">
        <v>0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6</v>
      </c>
      <c r="I21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13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</row>
    <row r="7">
      <c r="A7" t="n">
        <v>14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</row>
    <row r="8">
      <c r="A8" t="n">
        <v>15</v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</row>
    <row r="9">
      <c r="A9" t="n">
        <v>16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19</v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</row>
    <row r="12">
      <c r="A12" t="n">
        <v>20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23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</row>
    <row r="15">
      <c r="A15" t="n">
        <v>24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31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</row>
    <row r="20">
      <c r="A20" t="n">
        <v>32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</row>
    <row r="21">
      <c r="A21" t="n">
        <v>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40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41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42</v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</row>
    <row r="30">
      <c r="A30" t="n">
        <v>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49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4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</row>
    <row r="3">
      <c r="A3" t="n">
        <v>6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</row>
    <row r="4">
      <c r="A4" t="n">
        <v>8</v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</row>
    <row r="5">
      <c r="A5" t="n">
        <v>11</v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</row>
    <row r="6">
      <c r="A6" t="n">
        <v>13</v>
      </c>
      <c r="B6" t="n">
        <v>0</v>
      </c>
      <c r="C6" t="n">
        <v>1</v>
      </c>
      <c r="D6" t="n">
        <v>2</v>
      </c>
      <c r="E6" t="n">
        <v>0</v>
      </c>
      <c r="F6" t="n">
        <v>1</v>
      </c>
      <c r="G6" t="n">
        <v>0</v>
      </c>
      <c r="H6" t="n">
        <v>1</v>
      </c>
      <c r="I6" t="n">
        <v>0</v>
      </c>
    </row>
    <row r="7">
      <c r="A7" t="n">
        <v>14</v>
      </c>
      <c r="B7" t="n">
        <v>0</v>
      </c>
      <c r="C7" t="n">
        <v>1</v>
      </c>
      <c r="D7" t="n">
        <v>2</v>
      </c>
      <c r="E7" t="n">
        <v>0</v>
      </c>
      <c r="F7" t="n">
        <v>1</v>
      </c>
      <c r="G7" t="n">
        <v>0</v>
      </c>
      <c r="H7" t="n">
        <v>1</v>
      </c>
      <c r="I7" t="n">
        <v>0</v>
      </c>
    </row>
    <row r="8">
      <c r="A8" t="n">
        <v>15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</row>
    <row r="9">
      <c r="A9" t="n">
        <v>16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</row>
    <row r="10">
      <c r="A10" t="n">
        <v>18</v>
      </c>
      <c r="B10" t="n">
        <v>0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6</v>
      </c>
      <c r="I10" t="n">
        <v>7</v>
      </c>
    </row>
    <row r="11">
      <c r="A11" t="n">
        <v>19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</row>
    <row r="12">
      <c r="A12" t="n">
        <v>20</v>
      </c>
      <c r="B12" t="n">
        <v>0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6</v>
      </c>
      <c r="I12" t="n">
        <v>7</v>
      </c>
    </row>
    <row r="13">
      <c r="A13" t="n">
        <v>22</v>
      </c>
      <c r="B13" t="n">
        <v>0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6</v>
      </c>
      <c r="I13" t="n">
        <v>7</v>
      </c>
    </row>
    <row r="14">
      <c r="A14" t="n">
        <v>23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</row>
    <row r="15">
      <c r="A15" t="n">
        <v>24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</row>
    <row r="16">
      <c r="A16" t="n">
        <v>25</v>
      </c>
      <c r="B16" t="n">
        <v>0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6</v>
      </c>
      <c r="I16" t="n">
        <v>7</v>
      </c>
    </row>
    <row r="17">
      <c r="A17" t="n">
        <v>26</v>
      </c>
      <c r="B17" t="n">
        <v>0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7</v>
      </c>
    </row>
    <row r="18">
      <c r="A18" t="n">
        <v>29</v>
      </c>
      <c r="B18" t="n">
        <v>0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6</v>
      </c>
      <c r="I18" t="n">
        <v>7</v>
      </c>
    </row>
    <row r="19">
      <c r="A19" t="n">
        <v>31</v>
      </c>
      <c r="B19" t="n">
        <v>0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</row>
    <row r="20">
      <c r="A20" t="n">
        <v>32</v>
      </c>
      <c r="B20" t="n">
        <v>0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</row>
    <row r="21">
      <c r="A21" t="n">
        <v>33</v>
      </c>
      <c r="B21" t="n">
        <v>0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6</v>
      </c>
      <c r="I21" t="n">
        <v>7</v>
      </c>
    </row>
    <row r="22">
      <c r="A22" t="n">
        <v>34</v>
      </c>
      <c r="B22" t="n">
        <v>0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6</v>
      </c>
      <c r="I22" t="n">
        <v>7</v>
      </c>
    </row>
    <row r="23">
      <c r="A23" t="n">
        <v>35</v>
      </c>
      <c r="B23" t="n">
        <v>0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6</v>
      </c>
      <c r="I23" t="n">
        <v>7</v>
      </c>
    </row>
    <row r="24">
      <c r="A24" t="n">
        <v>36</v>
      </c>
      <c r="B24" t="n">
        <v>0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6</v>
      </c>
      <c r="I24" t="n">
        <v>7</v>
      </c>
    </row>
    <row r="25">
      <c r="A25" t="n">
        <v>37</v>
      </c>
      <c r="B25" t="n">
        <v>0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6</v>
      </c>
      <c r="I25" t="n">
        <v>7</v>
      </c>
    </row>
    <row r="26">
      <c r="A26" t="n">
        <v>38</v>
      </c>
      <c r="B26" t="n">
        <v>0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6</v>
      </c>
      <c r="I26" t="n">
        <v>7</v>
      </c>
    </row>
    <row r="27">
      <c r="A27" t="n">
        <v>40</v>
      </c>
      <c r="B27" t="n">
        <v>0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6</v>
      </c>
      <c r="I27" t="n">
        <v>7</v>
      </c>
    </row>
    <row r="28">
      <c r="A28" t="n">
        <v>41</v>
      </c>
      <c r="B28" t="n">
        <v>0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6</v>
      </c>
      <c r="I28" t="n">
        <v>7</v>
      </c>
    </row>
    <row r="29">
      <c r="A29" t="n">
        <v>42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</row>
    <row r="30">
      <c r="A30" t="n">
        <v>47</v>
      </c>
      <c r="B30" t="n">
        <v>0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6</v>
      </c>
      <c r="I30" t="n">
        <v>7</v>
      </c>
    </row>
    <row r="31">
      <c r="A31" t="n">
        <v>48</v>
      </c>
      <c r="B31" t="n">
        <v>0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6</v>
      </c>
      <c r="I31" t="n">
        <v>7</v>
      </c>
    </row>
    <row r="32">
      <c r="A32" t="n">
        <v>49</v>
      </c>
      <c r="B32" t="n">
        <v>0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6</v>
      </c>
      <c r="I32" t="n">
        <v>7</v>
      </c>
    </row>
    <row r="33">
      <c r="A33" t="n">
        <v>50</v>
      </c>
      <c r="B33" t="n">
        <v>0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6</v>
      </c>
      <c r="I33" t="n">
        <v>7</v>
      </c>
    </row>
    <row r="34">
      <c r="A34" t="n">
        <v>51</v>
      </c>
      <c r="B34" t="n">
        <v>0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6</v>
      </c>
      <c r="I34" t="n">
        <v>7</v>
      </c>
    </row>
    <row r="35">
      <c r="A35" t="n">
        <v>55</v>
      </c>
      <c r="B35" t="n">
        <v>0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6</v>
      </c>
      <c r="I35" t="n">
        <v>7</v>
      </c>
    </row>
    <row r="36">
      <c r="A36" t="n">
        <v>56</v>
      </c>
      <c r="B36" t="n">
        <v>0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6</v>
      </c>
      <c r="I36" t="n">
        <v>7</v>
      </c>
    </row>
    <row r="37">
      <c r="A37" t="n">
        <v>57</v>
      </c>
      <c r="B37" t="n">
        <v>0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6</v>
      </c>
      <c r="I37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748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893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894</v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</row>
    <row r="5">
      <c r="A5" t="n">
        <v>895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896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897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898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899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900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901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</row>
    <row r="12">
      <c r="A12" t="n">
        <v>1005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</row>
    <row r="13">
      <c r="A13" t="n">
        <v>1060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</row>
    <row r="14">
      <c r="A14" t="n">
        <v>1159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</row>
    <row r="15">
      <c r="A15" t="n">
        <v>1864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</row>
    <row r="16">
      <c r="A16" t="n">
        <v>1883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2174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3496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3512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3612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4020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748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</row>
    <row r="3">
      <c r="A3" t="n">
        <v>893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</row>
    <row r="4">
      <c r="A4" t="n">
        <v>894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</row>
    <row r="5">
      <c r="A5" t="n">
        <v>895</v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</row>
    <row r="6">
      <c r="A6" t="n">
        <v>896</v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6</v>
      </c>
      <c r="I6" t="n">
        <v>7</v>
      </c>
    </row>
    <row r="7">
      <c r="A7" t="n">
        <v>897</v>
      </c>
      <c r="B7" t="n">
        <v>0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</row>
    <row r="8">
      <c r="A8" t="n">
        <v>898</v>
      </c>
      <c r="B8" t="n">
        <v>0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6</v>
      </c>
      <c r="I8" t="n">
        <v>7</v>
      </c>
    </row>
    <row r="9">
      <c r="A9" t="n">
        <v>899</v>
      </c>
      <c r="B9" t="n">
        <v>0</v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6</v>
      </c>
      <c r="I9" t="n">
        <v>7</v>
      </c>
    </row>
    <row r="10">
      <c r="A10" t="n">
        <v>900</v>
      </c>
      <c r="B10" t="n">
        <v>0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6</v>
      </c>
      <c r="I10" t="n">
        <v>7</v>
      </c>
    </row>
    <row r="11">
      <c r="A11" t="n">
        <v>901</v>
      </c>
      <c r="B11" t="n">
        <v>0</v>
      </c>
      <c r="C11" t="n">
        <v>1</v>
      </c>
      <c r="D11" t="n">
        <v>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</row>
    <row r="12">
      <c r="A12" t="n">
        <v>1005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</row>
    <row r="13">
      <c r="A13" t="n">
        <v>1060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</row>
    <row r="14">
      <c r="A14" t="n">
        <v>1159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</row>
    <row r="15">
      <c r="A15" t="n">
        <v>1864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</row>
    <row r="16">
      <c r="A16" t="n">
        <v>1883</v>
      </c>
      <c r="B16" t="n">
        <v>0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6</v>
      </c>
      <c r="I16" t="n">
        <v>7</v>
      </c>
    </row>
    <row r="17">
      <c r="A17" t="n">
        <v>2174</v>
      </c>
      <c r="B17" t="n">
        <v>0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7</v>
      </c>
    </row>
    <row r="18">
      <c r="A18" t="n">
        <v>3496</v>
      </c>
      <c r="B18" t="n">
        <v>0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6</v>
      </c>
      <c r="I18" t="n">
        <v>7</v>
      </c>
    </row>
    <row r="19">
      <c r="A19" t="n">
        <v>3512</v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6</v>
      </c>
      <c r="I19" t="n">
        <v>7</v>
      </c>
    </row>
    <row r="20">
      <c r="A20" t="n">
        <v>3612</v>
      </c>
      <c r="B20" t="n">
        <v>0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6</v>
      </c>
      <c r="I20" t="n">
        <v>7</v>
      </c>
    </row>
    <row r="21">
      <c r="A21" t="n">
        <v>4020</v>
      </c>
      <c r="B21" t="n">
        <v>0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6</v>
      </c>
      <c r="I21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13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14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n">
        <v>15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16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20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24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31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32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40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41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42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49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4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</row>
    <row r="3">
      <c r="A3" t="n">
        <v>6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</row>
    <row r="4">
      <c r="A4" t="n">
        <v>8</v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</row>
    <row r="5">
      <c r="A5" t="n">
        <v>11</v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</row>
    <row r="6">
      <c r="A6" t="n">
        <v>13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14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18</v>
      </c>
      <c r="B10" t="n">
        <v>0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6</v>
      </c>
      <c r="I10" t="n">
        <v>7</v>
      </c>
    </row>
    <row r="11">
      <c r="A11" t="n">
        <v>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</v>
      </c>
      <c r="B12" t="n">
        <v>0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6</v>
      </c>
      <c r="I12" t="n">
        <v>7</v>
      </c>
    </row>
    <row r="13">
      <c r="A13" t="n">
        <v>22</v>
      </c>
      <c r="B13" t="n">
        <v>0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6</v>
      </c>
      <c r="I13" t="n">
        <v>7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25</v>
      </c>
      <c r="B16" t="n">
        <v>0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6</v>
      </c>
      <c r="I16" t="n">
        <v>7</v>
      </c>
    </row>
    <row r="17">
      <c r="A17" t="n">
        <v>26</v>
      </c>
      <c r="B17" t="n">
        <v>0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7</v>
      </c>
    </row>
    <row r="18">
      <c r="A18" t="n">
        <v>29</v>
      </c>
      <c r="B18" t="n">
        <v>0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6</v>
      </c>
      <c r="I18" t="n">
        <v>7</v>
      </c>
    </row>
    <row r="19">
      <c r="A19" t="n">
        <v>31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32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33</v>
      </c>
      <c r="B21" t="n">
        <v>0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6</v>
      </c>
      <c r="I21" t="n">
        <v>7</v>
      </c>
    </row>
    <row r="22">
      <c r="A22" t="n">
        <v>34</v>
      </c>
      <c r="B22" t="n">
        <v>0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6</v>
      </c>
      <c r="I22" t="n">
        <v>7</v>
      </c>
    </row>
    <row r="23">
      <c r="A23" t="n">
        <v>35</v>
      </c>
      <c r="B23" t="n">
        <v>0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6</v>
      </c>
      <c r="I23" t="n">
        <v>7</v>
      </c>
    </row>
    <row r="24">
      <c r="A24" t="n">
        <v>36</v>
      </c>
      <c r="B24" t="n">
        <v>0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6</v>
      </c>
      <c r="I24" t="n">
        <v>7</v>
      </c>
    </row>
    <row r="25">
      <c r="A25" t="n">
        <v>37</v>
      </c>
      <c r="B25" t="n">
        <v>0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6</v>
      </c>
      <c r="I25" t="n">
        <v>7</v>
      </c>
    </row>
    <row r="26">
      <c r="A26" t="n">
        <v>38</v>
      </c>
      <c r="B26" t="n">
        <v>0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6</v>
      </c>
      <c r="I26" t="n">
        <v>7</v>
      </c>
    </row>
    <row r="27">
      <c r="A27" t="n">
        <v>40</v>
      </c>
      <c r="B27" t="n">
        <v>0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6</v>
      </c>
      <c r="I27" t="n">
        <v>7</v>
      </c>
    </row>
    <row r="28">
      <c r="A28" t="n">
        <v>41</v>
      </c>
      <c r="B28" t="n">
        <v>0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6</v>
      </c>
      <c r="I28" t="n">
        <v>7</v>
      </c>
    </row>
    <row r="29">
      <c r="A29" t="n">
        <v>42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47</v>
      </c>
      <c r="B30" t="n">
        <v>0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6</v>
      </c>
      <c r="I30" t="n">
        <v>7</v>
      </c>
    </row>
    <row r="31">
      <c r="A31" t="n">
        <v>48</v>
      </c>
      <c r="B31" t="n">
        <v>0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6</v>
      </c>
      <c r="I31" t="n">
        <v>7</v>
      </c>
    </row>
    <row r="32">
      <c r="A32" t="n">
        <v>49</v>
      </c>
      <c r="B32" t="n">
        <v>0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6</v>
      </c>
      <c r="I32" t="n">
        <v>7</v>
      </c>
    </row>
    <row r="33">
      <c r="A33" t="n">
        <v>50</v>
      </c>
      <c r="B33" t="n">
        <v>0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6</v>
      </c>
      <c r="I33" t="n">
        <v>7</v>
      </c>
    </row>
    <row r="34">
      <c r="A34" t="n">
        <v>51</v>
      </c>
      <c r="B34" t="n">
        <v>0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6</v>
      </c>
      <c r="I34" t="n">
        <v>7</v>
      </c>
    </row>
    <row r="35">
      <c r="A35" t="n">
        <v>55</v>
      </c>
      <c r="B35" t="n">
        <v>0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6</v>
      </c>
      <c r="I35" t="n">
        <v>7</v>
      </c>
    </row>
    <row r="36">
      <c r="A36" t="n">
        <v>56</v>
      </c>
      <c r="B36" t="n">
        <v>0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6</v>
      </c>
      <c r="I36" t="n">
        <v>7</v>
      </c>
    </row>
    <row r="37">
      <c r="A37" t="n">
        <v>57</v>
      </c>
      <c r="B37" t="n">
        <v>0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6</v>
      </c>
      <c r="I37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748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893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894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895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896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897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898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899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900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901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1005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1060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1159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1864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1883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2174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3496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3512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3612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4020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748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</row>
    <row r="3">
      <c r="A3" t="n">
        <v>893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</row>
    <row r="4">
      <c r="A4" t="n">
        <v>894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895</v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</row>
    <row r="6">
      <c r="A6" t="n">
        <v>896</v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6</v>
      </c>
      <c r="I6" t="n">
        <v>7</v>
      </c>
    </row>
    <row r="7">
      <c r="A7" t="n">
        <v>897</v>
      </c>
      <c r="B7" t="n">
        <v>0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</row>
    <row r="8">
      <c r="A8" t="n">
        <v>898</v>
      </c>
      <c r="B8" t="n">
        <v>0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6</v>
      </c>
      <c r="I8" t="n">
        <v>7</v>
      </c>
    </row>
    <row r="9">
      <c r="A9" t="n">
        <v>899</v>
      </c>
      <c r="B9" t="n">
        <v>0</v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6</v>
      </c>
      <c r="I9" t="n">
        <v>7</v>
      </c>
    </row>
    <row r="10">
      <c r="A10" t="n">
        <v>900</v>
      </c>
      <c r="B10" t="n">
        <v>0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6</v>
      </c>
      <c r="I10" t="n">
        <v>7</v>
      </c>
    </row>
    <row r="11">
      <c r="A11" t="n">
        <v>901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1060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1159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1864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1883</v>
      </c>
      <c r="B16" t="n">
        <v>0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6</v>
      </c>
      <c r="I16" t="n">
        <v>7</v>
      </c>
    </row>
    <row r="17">
      <c r="A17" t="n">
        <v>2174</v>
      </c>
      <c r="B17" t="n">
        <v>0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7</v>
      </c>
    </row>
    <row r="18">
      <c r="A18" t="n">
        <v>3496</v>
      </c>
      <c r="B18" t="n">
        <v>0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6</v>
      </c>
      <c r="I18" t="n">
        <v>7</v>
      </c>
    </row>
    <row r="19">
      <c r="A19" t="n">
        <v>3512</v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6</v>
      </c>
      <c r="I19" t="n">
        <v>7</v>
      </c>
    </row>
    <row r="20">
      <c r="A20" t="n">
        <v>3612</v>
      </c>
      <c r="B20" t="n">
        <v>0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6</v>
      </c>
      <c r="I20" t="n">
        <v>7</v>
      </c>
    </row>
    <row r="21">
      <c r="A21" t="n">
        <v>4020</v>
      </c>
      <c r="B21" t="n">
        <v>0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6</v>
      </c>
      <c r="I21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</row>
    <row r="6">
      <c r="A6" t="n">
        <v>13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</row>
    <row r="7">
      <c r="A7" t="n">
        <v>14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n">
        <v>15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16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18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19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20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23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24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31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</row>
    <row r="20">
      <c r="A20" t="n">
        <v>32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</row>
    <row r="21">
      <c r="A21" t="n">
        <v>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t="n">
        <v>38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n">
        <v>40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41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42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</row>
    <row r="30">
      <c r="A30" t="n">
        <v>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n">
        <v>48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</row>
    <row r="32">
      <c r="A32" t="n">
        <v>49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t="n">
        <v>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t="n">
        <v>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4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</row>
    <row r="3">
      <c r="A3" t="n">
        <v>6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</row>
    <row r="4">
      <c r="A4" t="n">
        <v>8</v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</row>
    <row r="5">
      <c r="A5" t="n">
        <v>11</v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0</v>
      </c>
    </row>
    <row r="6">
      <c r="A6" t="n">
        <v>13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  <row r="7">
      <c r="A7" t="n">
        <v>14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</v>
      </c>
      <c r="B12" t="n">
        <v>0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6</v>
      </c>
      <c r="I12" t="n">
        <v>7</v>
      </c>
    </row>
    <row r="13">
      <c r="A13" t="n">
        <v>22</v>
      </c>
      <c r="B13" t="n">
        <v>0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6</v>
      </c>
      <c r="I13" t="n">
        <v>7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25</v>
      </c>
      <c r="B16" t="n">
        <v>0</v>
      </c>
      <c r="C16" t="n">
        <v>1</v>
      </c>
      <c r="D16" t="n">
        <v>2</v>
      </c>
      <c r="E16" t="n">
        <v>3</v>
      </c>
      <c r="F16" t="n">
        <v>4</v>
      </c>
      <c r="G16" t="n">
        <v>0</v>
      </c>
      <c r="H16" t="n">
        <v>0</v>
      </c>
      <c r="I16" t="n">
        <v>0</v>
      </c>
    </row>
    <row r="17">
      <c r="A17" t="n">
        <v>26</v>
      </c>
      <c r="B17" t="n">
        <v>0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7</v>
      </c>
    </row>
    <row r="18">
      <c r="A18" t="n">
        <v>29</v>
      </c>
      <c r="B18" t="n">
        <v>0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6</v>
      </c>
      <c r="I18" t="n">
        <v>7</v>
      </c>
    </row>
    <row r="19">
      <c r="A19" t="n">
        <v>31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</row>
    <row r="20">
      <c r="A20" t="n">
        <v>32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</row>
    <row r="21">
      <c r="A21" t="n">
        <v>33</v>
      </c>
      <c r="B21" t="n">
        <v>0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6</v>
      </c>
      <c r="I21" t="n">
        <v>7</v>
      </c>
    </row>
    <row r="22">
      <c r="A22" t="n">
        <v>34</v>
      </c>
      <c r="B22" t="n">
        <v>0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6</v>
      </c>
      <c r="I22" t="n">
        <v>7</v>
      </c>
    </row>
    <row r="23">
      <c r="A23" t="n">
        <v>35</v>
      </c>
      <c r="B23" t="n">
        <v>0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6</v>
      </c>
      <c r="I23" t="n">
        <v>7</v>
      </c>
    </row>
    <row r="24">
      <c r="A24" t="n">
        <v>36</v>
      </c>
      <c r="B24" t="n">
        <v>0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6</v>
      </c>
      <c r="I24" t="n">
        <v>7</v>
      </c>
    </row>
    <row r="25">
      <c r="A25" t="n">
        <v>37</v>
      </c>
      <c r="B25" t="n">
        <v>0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6</v>
      </c>
      <c r="I25" t="n">
        <v>0</v>
      </c>
    </row>
    <row r="26">
      <c r="A26" t="n">
        <v>38</v>
      </c>
      <c r="B26" t="n">
        <v>0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6</v>
      </c>
      <c r="I26" t="n">
        <v>0</v>
      </c>
    </row>
    <row r="27">
      <c r="A27" t="n">
        <v>40</v>
      </c>
      <c r="B27" t="n">
        <v>0</v>
      </c>
      <c r="C27" t="n">
        <v>1</v>
      </c>
      <c r="D27" t="n">
        <v>2</v>
      </c>
      <c r="E27" t="n">
        <v>3</v>
      </c>
      <c r="F27" t="n">
        <v>4</v>
      </c>
      <c r="G27" t="n">
        <v>0</v>
      </c>
      <c r="H27" t="n">
        <v>0</v>
      </c>
      <c r="I27" t="n">
        <v>0</v>
      </c>
    </row>
    <row r="28">
      <c r="A28" t="n">
        <v>41</v>
      </c>
      <c r="B28" t="n">
        <v>0</v>
      </c>
      <c r="C28" t="n">
        <v>1</v>
      </c>
      <c r="D28" t="n">
        <v>2</v>
      </c>
      <c r="E28" t="n">
        <v>3</v>
      </c>
      <c r="F28" t="n">
        <v>4</v>
      </c>
      <c r="G28" t="n">
        <v>0</v>
      </c>
      <c r="H28" t="n">
        <v>0</v>
      </c>
      <c r="I28" t="n">
        <v>0</v>
      </c>
    </row>
    <row r="29">
      <c r="A29" t="n">
        <v>42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</row>
    <row r="30">
      <c r="A30" t="n">
        <v>47</v>
      </c>
      <c r="B30" t="n">
        <v>0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6</v>
      </c>
      <c r="I30" t="n">
        <v>0</v>
      </c>
    </row>
    <row r="31">
      <c r="A31" t="n">
        <v>48</v>
      </c>
      <c r="B31" t="n">
        <v>0</v>
      </c>
      <c r="C31" t="n">
        <v>1</v>
      </c>
      <c r="D31" t="n">
        <v>2</v>
      </c>
      <c r="E31" t="n">
        <v>3</v>
      </c>
      <c r="F31" t="n">
        <v>4</v>
      </c>
      <c r="G31" t="n">
        <v>0</v>
      </c>
      <c r="H31" t="n">
        <v>0</v>
      </c>
      <c r="I31" t="n">
        <v>0</v>
      </c>
    </row>
    <row r="32">
      <c r="A32" t="n">
        <v>49</v>
      </c>
      <c r="B32" t="n">
        <v>0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6</v>
      </c>
      <c r="I32" t="n">
        <v>0</v>
      </c>
    </row>
    <row r="33">
      <c r="A33" t="n">
        <v>50</v>
      </c>
      <c r="B33" t="n">
        <v>0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6</v>
      </c>
      <c r="I33" t="n">
        <v>0</v>
      </c>
    </row>
    <row r="34">
      <c r="A34" t="n">
        <v>51</v>
      </c>
      <c r="B34" t="n">
        <v>0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6</v>
      </c>
      <c r="I34" t="n">
        <v>7</v>
      </c>
    </row>
    <row r="35">
      <c r="A35" t="n">
        <v>55</v>
      </c>
      <c r="B35" t="n">
        <v>0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6</v>
      </c>
      <c r="I35" t="n">
        <v>7</v>
      </c>
    </row>
    <row r="36">
      <c r="A36" t="n">
        <v>56</v>
      </c>
      <c r="B36" t="n">
        <v>0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6</v>
      </c>
      <c r="I36" t="n">
        <v>7</v>
      </c>
    </row>
    <row r="37">
      <c r="A37" t="n">
        <v>57</v>
      </c>
      <c r="B37" t="n">
        <v>0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6</v>
      </c>
      <c r="I3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748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893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n">
        <v>894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</row>
    <row r="5">
      <c r="A5" t="n">
        <v>895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896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897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898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899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900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901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1005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1060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1159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1864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1883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t="n">
        <v>2174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t="n">
        <v>3496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3512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3612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4020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748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0</v>
      </c>
      <c r="H2" t="n">
        <v>0</v>
      </c>
      <c r="I2" t="n">
        <v>0</v>
      </c>
    </row>
    <row r="3">
      <c r="A3" t="n">
        <v>893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894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0</v>
      </c>
    </row>
    <row r="5">
      <c r="A5" t="n">
        <v>895</v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</row>
    <row r="6">
      <c r="A6" t="n">
        <v>896</v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0</v>
      </c>
      <c r="H6" t="n">
        <v>0</v>
      </c>
      <c r="I6" t="n">
        <v>0</v>
      </c>
    </row>
    <row r="7">
      <c r="A7" t="n">
        <v>897</v>
      </c>
      <c r="B7" t="n">
        <v>0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</row>
    <row r="8">
      <c r="A8" t="n">
        <v>898</v>
      </c>
      <c r="B8" t="n">
        <v>0</v>
      </c>
      <c r="C8" t="n">
        <v>1</v>
      </c>
      <c r="D8" t="n">
        <v>2</v>
      </c>
      <c r="E8" t="n">
        <v>3</v>
      </c>
      <c r="F8" t="n">
        <v>4</v>
      </c>
      <c r="G8" t="n">
        <v>0</v>
      </c>
      <c r="H8" t="n">
        <v>0</v>
      </c>
      <c r="I8" t="n">
        <v>0</v>
      </c>
    </row>
    <row r="9">
      <c r="A9" t="n">
        <v>899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900</v>
      </c>
      <c r="B10" t="n">
        <v>0</v>
      </c>
      <c r="C10" t="n">
        <v>1</v>
      </c>
      <c r="D10" t="n">
        <v>2</v>
      </c>
      <c r="E10" t="n">
        <v>3</v>
      </c>
      <c r="F10" t="n">
        <v>4</v>
      </c>
      <c r="G10" t="n">
        <v>0</v>
      </c>
      <c r="H10" t="n">
        <v>0</v>
      </c>
      <c r="I10" t="n">
        <v>0</v>
      </c>
    </row>
    <row r="11">
      <c r="A11" t="n">
        <v>901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</row>
    <row r="12">
      <c r="A12" t="n">
        <v>1005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1060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1159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1864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1883</v>
      </c>
      <c r="B16" t="n">
        <v>0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6</v>
      </c>
      <c r="I16" t="n">
        <v>0</v>
      </c>
    </row>
    <row r="17">
      <c r="A17" t="n">
        <v>2174</v>
      </c>
      <c r="B17" t="n">
        <v>0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0</v>
      </c>
    </row>
    <row r="18">
      <c r="A18" t="n">
        <v>3496</v>
      </c>
      <c r="B18" t="n">
        <v>0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6</v>
      </c>
      <c r="I18" t="n">
        <v>7</v>
      </c>
    </row>
    <row r="19">
      <c r="A19" t="n">
        <v>3512</v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0</v>
      </c>
      <c r="H19" t="n">
        <v>0</v>
      </c>
      <c r="I19" t="n">
        <v>0</v>
      </c>
    </row>
    <row r="20">
      <c r="A20" t="n">
        <v>3612</v>
      </c>
      <c r="B20" t="n">
        <v>0</v>
      </c>
      <c r="C20" t="n">
        <v>1</v>
      </c>
      <c r="D20" t="n">
        <v>2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</row>
    <row r="21">
      <c r="A21" t="n">
        <v>4020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</row>
    <row r="6">
      <c r="A6" t="n">
        <v>13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</row>
    <row r="7">
      <c r="A7" t="n">
        <v>14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n">
        <v>15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16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18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19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20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23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24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31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</row>
    <row r="20">
      <c r="A20" t="n">
        <v>32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</row>
    <row r="21">
      <c r="A21" t="n">
        <v>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t="n">
        <v>38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n">
        <v>40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41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42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</row>
    <row r="30">
      <c r="A30" t="n">
        <v>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n">
        <v>48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</row>
    <row r="32">
      <c r="A32" t="n">
        <v>49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t="n">
        <v>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t="n">
        <v>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4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</row>
    <row r="3">
      <c r="A3" t="n">
        <v>6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</row>
    <row r="4">
      <c r="A4" t="n">
        <v>8</v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</row>
    <row r="5">
      <c r="A5" t="n">
        <v>11</v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0</v>
      </c>
    </row>
    <row r="6">
      <c r="A6" t="n">
        <v>13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  <row r="7">
      <c r="A7" t="n">
        <v>14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</v>
      </c>
      <c r="B12" t="n">
        <v>0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6</v>
      </c>
      <c r="I12" t="n">
        <v>7</v>
      </c>
    </row>
    <row r="13">
      <c r="A13" t="n">
        <v>22</v>
      </c>
      <c r="B13" t="n">
        <v>0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6</v>
      </c>
      <c r="I13" t="n">
        <v>7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25</v>
      </c>
      <c r="B16" t="n">
        <v>0</v>
      </c>
      <c r="C16" t="n">
        <v>1</v>
      </c>
      <c r="D16" t="n">
        <v>2</v>
      </c>
      <c r="E16" t="n">
        <v>3</v>
      </c>
      <c r="F16" t="n">
        <v>4</v>
      </c>
      <c r="G16" t="n">
        <v>0</v>
      </c>
      <c r="H16" t="n">
        <v>0</v>
      </c>
      <c r="I16" t="n">
        <v>0</v>
      </c>
    </row>
    <row r="17">
      <c r="A17" t="n">
        <v>26</v>
      </c>
      <c r="B17" t="n">
        <v>0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7</v>
      </c>
    </row>
    <row r="18">
      <c r="A18" t="n">
        <v>29</v>
      </c>
      <c r="B18" t="n">
        <v>0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6</v>
      </c>
      <c r="I18" t="n">
        <v>7</v>
      </c>
    </row>
    <row r="19">
      <c r="A19" t="n">
        <v>31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</row>
    <row r="20">
      <c r="A20" t="n">
        <v>32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</row>
    <row r="21">
      <c r="A21" t="n">
        <v>33</v>
      </c>
      <c r="B21" t="n">
        <v>0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6</v>
      </c>
      <c r="I21" t="n">
        <v>7</v>
      </c>
    </row>
    <row r="22">
      <c r="A22" t="n">
        <v>34</v>
      </c>
      <c r="B22" t="n">
        <v>0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6</v>
      </c>
      <c r="I22" t="n">
        <v>7</v>
      </c>
    </row>
    <row r="23">
      <c r="A23" t="n">
        <v>35</v>
      </c>
      <c r="B23" t="n">
        <v>0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6</v>
      </c>
      <c r="I23" t="n">
        <v>7</v>
      </c>
    </row>
    <row r="24">
      <c r="A24" t="n">
        <v>36</v>
      </c>
      <c r="B24" t="n">
        <v>0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6</v>
      </c>
      <c r="I24" t="n">
        <v>7</v>
      </c>
    </row>
    <row r="25">
      <c r="A25" t="n">
        <v>37</v>
      </c>
      <c r="B25" t="n">
        <v>0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6</v>
      </c>
      <c r="I25" t="n">
        <v>0</v>
      </c>
    </row>
    <row r="26">
      <c r="A26" t="n">
        <v>38</v>
      </c>
      <c r="B26" t="n">
        <v>0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6</v>
      </c>
      <c r="I26" t="n">
        <v>0</v>
      </c>
    </row>
    <row r="27">
      <c r="A27" t="n">
        <v>40</v>
      </c>
      <c r="B27" t="n">
        <v>0</v>
      </c>
      <c r="C27" t="n">
        <v>1</v>
      </c>
      <c r="D27" t="n">
        <v>2</v>
      </c>
      <c r="E27" t="n">
        <v>3</v>
      </c>
      <c r="F27" t="n">
        <v>4</v>
      </c>
      <c r="G27" t="n">
        <v>0</v>
      </c>
      <c r="H27" t="n">
        <v>0</v>
      </c>
      <c r="I27" t="n">
        <v>0</v>
      </c>
    </row>
    <row r="28">
      <c r="A28" t="n">
        <v>41</v>
      </c>
      <c r="B28" t="n">
        <v>0</v>
      </c>
      <c r="C28" t="n">
        <v>1</v>
      </c>
      <c r="D28" t="n">
        <v>2</v>
      </c>
      <c r="E28" t="n">
        <v>3</v>
      </c>
      <c r="F28" t="n">
        <v>4</v>
      </c>
      <c r="G28" t="n">
        <v>0</v>
      </c>
      <c r="H28" t="n">
        <v>0</v>
      </c>
      <c r="I28" t="n">
        <v>0</v>
      </c>
    </row>
    <row r="29">
      <c r="A29" t="n">
        <v>42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</row>
    <row r="30">
      <c r="A30" t="n">
        <v>47</v>
      </c>
      <c r="B30" t="n">
        <v>0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6</v>
      </c>
      <c r="I30" t="n">
        <v>0</v>
      </c>
    </row>
    <row r="31">
      <c r="A31" t="n">
        <v>48</v>
      </c>
      <c r="B31" t="n">
        <v>0</v>
      </c>
      <c r="C31" t="n">
        <v>1</v>
      </c>
      <c r="D31" t="n">
        <v>2</v>
      </c>
      <c r="E31" t="n">
        <v>3</v>
      </c>
      <c r="F31" t="n">
        <v>4</v>
      </c>
      <c r="G31" t="n">
        <v>0</v>
      </c>
      <c r="H31" t="n">
        <v>0</v>
      </c>
      <c r="I31" t="n">
        <v>0</v>
      </c>
    </row>
    <row r="32">
      <c r="A32" t="n">
        <v>49</v>
      </c>
      <c r="B32" t="n">
        <v>0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6</v>
      </c>
      <c r="I32" t="n">
        <v>0</v>
      </c>
    </row>
    <row r="33">
      <c r="A33" t="n">
        <v>50</v>
      </c>
      <c r="B33" t="n">
        <v>0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6</v>
      </c>
      <c r="I33" t="n">
        <v>0</v>
      </c>
    </row>
    <row r="34">
      <c r="A34" t="n">
        <v>51</v>
      </c>
      <c r="B34" t="n">
        <v>0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6</v>
      </c>
      <c r="I34" t="n">
        <v>7</v>
      </c>
    </row>
    <row r="35">
      <c r="A35" t="n">
        <v>55</v>
      </c>
      <c r="B35" t="n">
        <v>0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6</v>
      </c>
      <c r="I35" t="n">
        <v>7</v>
      </c>
    </row>
    <row r="36">
      <c r="A36" t="n">
        <v>56</v>
      </c>
      <c r="B36" t="n">
        <v>0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6</v>
      </c>
      <c r="I36" t="n">
        <v>7</v>
      </c>
    </row>
    <row r="37">
      <c r="A37" t="n">
        <v>57</v>
      </c>
      <c r="B37" t="n">
        <v>0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6</v>
      </c>
      <c r="I37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748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893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n">
        <v>894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</row>
    <row r="5">
      <c r="A5" t="n">
        <v>895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896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897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898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899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900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901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1005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1060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1159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1864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1883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t="n">
        <v>2174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t="n">
        <v>3496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3512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3612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4020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n">
        <v>0.1</v>
      </c>
      <c r="C1" t="n">
        <v>0.2</v>
      </c>
      <c r="D1" t="n">
        <v>0.3</v>
      </c>
      <c r="E1" t="n">
        <v>0.4</v>
      </c>
      <c r="F1" t="n">
        <v>0.5</v>
      </c>
      <c r="G1" t="n">
        <v>0.6</v>
      </c>
      <c r="H1" t="n">
        <v>0.7</v>
      </c>
      <c r="I1" t="n">
        <v>0.8</v>
      </c>
    </row>
    <row r="2">
      <c r="A2" t="n">
        <v>748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0</v>
      </c>
      <c r="H2" t="n">
        <v>0</v>
      </c>
      <c r="I2" t="n">
        <v>0</v>
      </c>
    </row>
    <row r="3">
      <c r="A3" t="n">
        <v>893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894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0</v>
      </c>
    </row>
    <row r="5">
      <c r="A5" t="n">
        <v>895</v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</row>
    <row r="6">
      <c r="A6" t="n">
        <v>896</v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0</v>
      </c>
      <c r="H6" t="n">
        <v>0</v>
      </c>
      <c r="I6" t="n">
        <v>0</v>
      </c>
    </row>
    <row r="7">
      <c r="A7" t="n">
        <v>897</v>
      </c>
      <c r="B7" t="n">
        <v>0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</row>
    <row r="8">
      <c r="A8" t="n">
        <v>898</v>
      </c>
      <c r="B8" t="n">
        <v>0</v>
      </c>
      <c r="C8" t="n">
        <v>1</v>
      </c>
      <c r="D8" t="n">
        <v>2</v>
      </c>
      <c r="E8" t="n">
        <v>3</v>
      </c>
      <c r="F8" t="n">
        <v>4</v>
      </c>
      <c r="G8" t="n">
        <v>0</v>
      </c>
      <c r="H8" t="n">
        <v>0</v>
      </c>
      <c r="I8" t="n">
        <v>0</v>
      </c>
    </row>
    <row r="9">
      <c r="A9" t="n">
        <v>899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900</v>
      </c>
      <c r="B10" t="n">
        <v>0</v>
      </c>
      <c r="C10" t="n">
        <v>1</v>
      </c>
      <c r="D10" t="n">
        <v>2</v>
      </c>
      <c r="E10" t="n">
        <v>3</v>
      </c>
      <c r="F10" t="n">
        <v>4</v>
      </c>
      <c r="G10" t="n">
        <v>0</v>
      </c>
      <c r="H10" t="n">
        <v>0</v>
      </c>
      <c r="I10" t="n">
        <v>0</v>
      </c>
    </row>
    <row r="11">
      <c r="A11" t="n">
        <v>901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</row>
    <row r="12">
      <c r="A12" t="n">
        <v>1005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1060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1159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1864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1883</v>
      </c>
      <c r="B16" t="n">
        <v>0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6</v>
      </c>
      <c r="I16" t="n">
        <v>0</v>
      </c>
    </row>
    <row r="17">
      <c r="A17" t="n">
        <v>2174</v>
      </c>
      <c r="B17" t="n">
        <v>0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0</v>
      </c>
    </row>
    <row r="18">
      <c r="A18" t="n">
        <v>3496</v>
      </c>
      <c r="B18" t="n">
        <v>0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6</v>
      </c>
      <c r="I18" t="n">
        <v>7</v>
      </c>
    </row>
    <row r="19">
      <c r="A19" t="n">
        <v>3512</v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0</v>
      </c>
      <c r="H19" t="n">
        <v>0</v>
      </c>
      <c r="I19" t="n">
        <v>0</v>
      </c>
    </row>
    <row r="20">
      <c r="A20" t="n">
        <v>3612</v>
      </c>
      <c r="B20" t="n">
        <v>0</v>
      </c>
      <c r="C20" t="n">
        <v>1</v>
      </c>
      <c r="D20" t="n">
        <v>2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</row>
    <row r="21">
      <c r="A21" t="n">
        <v>4020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2026-05-16T20:33:19Z</dcterms:created>
  <dcterms:modified xsi:type="dcterms:W3CDTF">2026-05-18T00:46:20Z</dcterms:modified>
</cp:coreProperties>
</file>